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I RAG Project\"/>
    </mc:Choice>
  </mc:AlternateContent>
  <xr:revisionPtr revIDLastSave="0" documentId="8_{00589961-5EA5-48E2-A5DC-AAFBE989C542}" xr6:coauthVersionLast="47" xr6:coauthVersionMax="47" xr10:uidLastSave="{00000000-0000-0000-0000-000000000000}"/>
  <bookViews>
    <workbookView xWindow="-108" yWindow="-108" windowWidth="23256" windowHeight="12456" xr2:uid="{3733EE53-7449-4F10-B2C4-513957E19C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1" l="1"/>
  <c r="H3" i="1"/>
  <c r="H4" i="1"/>
  <c r="H5" i="1"/>
  <c r="H6" i="1"/>
  <c r="H8" i="1"/>
  <c r="H9" i="1"/>
</calcChain>
</file>

<file path=xl/sharedStrings.xml><?xml version="1.0" encoding="utf-8"?>
<sst xmlns="http://schemas.openxmlformats.org/spreadsheetml/2006/main" count="114" uniqueCount="83">
  <si>
    <t>Client ID</t>
  </si>
  <si>
    <t>Business Name</t>
  </si>
  <si>
    <t>Website</t>
  </si>
  <si>
    <t>Country</t>
  </si>
  <si>
    <t>Industry</t>
  </si>
  <si>
    <t>Services</t>
  </si>
  <si>
    <t>Contact Email</t>
  </si>
  <si>
    <t>Phone</t>
  </si>
  <si>
    <t>Business Hours</t>
  </si>
  <si>
    <t>Why Good Prospect</t>
  </si>
  <si>
    <t>Suggested Lead Fields</t>
  </si>
  <si>
    <t>merriman_law_office</t>
  </si>
  <si>
    <t>Merriman Law Office, PLC</t>
  </si>
  <si>
    <t>https://www.mlawplc.com</t>
  </si>
  <si>
    <t>USA</t>
  </si>
  <si>
    <t>Legal</t>
  </si>
  <si>
    <t>Litigation, Real Estate, Probate, Business Law</t>
  </si>
  <si>
    <t>mlaw@mlawplc.com</t>
  </si>
  <si>
    <t>Unknown</t>
  </si>
  <si>
    <t>Small firm, no visible AI chatbot, expensive services.</t>
  </si>
  <si>
    <t>Name, Email, Phone, Case Type</t>
  </si>
  <si>
    <t>duncan_law_tn</t>
  </si>
  <si>
    <t>Duncan Law Firm</t>
  </si>
  <si>
    <t>https://www.duncanlawfirm.com</t>
  </si>
  <si>
    <t>Bankruptcy, Divorce, Wills, Powers of Attorney</t>
  </si>
  <si>
    <t>info@duncanlawfirm.com</t>
  </si>
  <si>
    <t>Mon-Fri 9 AM–5 PM</t>
  </si>
  <si>
    <t>Gets many repetitive questions; excellent for intake automation.</t>
  </si>
  <si>
    <t>Name, Email, Phone, Service Required</t>
  </si>
  <si>
    <t>duncan_law_fl</t>
  </si>
  <si>
    <t>Duncan Law Firm P.A.</t>
  </si>
  <si>
    <t>https://duncanlawfirmpa.com</t>
  </si>
  <si>
    <t>Estate Planning, Elder Law, Guardianship</t>
  </si>
  <si>
    <t>steven@duncanlawfirmpa.com</t>
  </si>
  <si>
    <t>High-value estate planning clients.</t>
  </si>
  <si>
    <t>Name, Email, Phone, Consultation Date</t>
  </si>
  <si>
    <t>duncan_law_baton_rouge</t>
  </si>
  <si>
    <t>https://www.jduncanlawfirm.com</t>
  </si>
  <si>
    <t>Personal Injury, Car Accidents, Wrongful Death</t>
  </si>
  <si>
    <t>N/A</t>
  </si>
  <si>
    <t>Personal injury leads can be worth thousands of dollars.</t>
  </si>
  <si>
    <t>Name, Email, Phone, Accident Type</t>
  </si>
  <si>
    <t>duncan_immigration</t>
  </si>
  <si>
    <t>The Duncan Law Firm, LLC</t>
  </si>
  <si>
    <t>https://www.duncanimmigrationlaw.com</t>
  </si>
  <si>
    <t>Immigration</t>
  </si>
  <si>
    <t>Green Cards, K-1 Visa, Citizenship, Asylum</t>
  </si>
  <si>
    <t>gregory@duncanimmigrationlaw.com</t>
  </si>
  <si>
    <t>By Appointment</t>
  </si>
  <si>
    <t>Immigration is one of the best AI chatbot markets.</t>
  </si>
  <si>
    <t>Name, Email, Country, Visa Type</t>
  </si>
  <si>
    <t>duncan_ip</t>
  </si>
  <si>
    <t>The Duncan Law Firm LLC</t>
  </si>
  <si>
    <t>https://www.lawdlf.com</t>
  </si>
  <si>
    <t>Intellectual Property</t>
  </si>
  <si>
    <t>Trademark, IP Law</t>
  </si>
  <si>
    <t>Business clients; high-ticket services.</t>
  </si>
  <si>
    <t>Name, Email, Company Name, Trademark Need</t>
  </si>
  <si>
    <t>duncan_bressler</t>
  </si>
  <si>
    <t>Duncan, Bressler &amp; Williamson, Inc.</t>
  </si>
  <si>
    <t>https://duncanlaw.com</t>
  </si>
  <si>
    <t>Tax Planning, Estate Planning, Energy Law</t>
  </si>
  <si>
    <t>Established firm serving Texas for ~50 years.</t>
  </si>
  <si>
    <t>Name, Email, Matter Type</t>
  </si>
  <si>
    <t>duncan_firm</t>
  </si>
  <si>
    <t>Duncan Firm, P.A.</t>
  </si>
  <si>
    <t>https://www.duncanfirm.com</t>
  </si>
  <si>
    <t>Personal Injury</t>
  </si>
  <si>
    <t>Trucking Accidents, Personal Injury, Mass Torts</t>
  </si>
  <si>
    <t>Handles mass torts and large settlements.</t>
  </si>
  <si>
    <t>Name, Email, Injury Type</t>
  </si>
  <si>
    <t>morey_cpa</t>
  </si>
  <si>
    <t>Morey CPA &amp; Associates, Inc.</t>
  </si>
  <si>
    <t>(research required)</t>
  </si>
  <si>
    <t>Accounting</t>
  </si>
  <si>
    <t>Tax &amp; Accounting</t>
  </si>
  <si>
    <t>CPA firms get repetitive tax questions yearly.</t>
  </si>
  <si>
    <t>Name, Email, Tax Inquiry</t>
  </si>
  <si>
    <t>velin_associates</t>
  </si>
  <si>
    <t>Velin &amp; Associates CPA</t>
  </si>
  <si>
    <t>Tax Prep, Financial Planning</t>
  </si>
  <si>
    <t>Strong candidate for appointment booking and FAQs.</t>
  </si>
  <si>
    <t>Name, Email, Service Needed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</si>
</sst>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uncanimmigrationlaw.com/" TargetMode="External"/><Relationship Id="rId3" Type="http://schemas.openxmlformats.org/officeDocument/2006/relationships/hyperlink" Target="https://www.duncanlawfirm.com/" TargetMode="External"/><Relationship Id="rId7" Type="http://schemas.openxmlformats.org/officeDocument/2006/relationships/hyperlink" Target="https://www.jduncanlawfirm.com/" TargetMode="External"/><Relationship Id="rId12" Type="http://schemas.openxmlformats.org/officeDocument/2006/relationships/hyperlink" Target="https://www.duncanfirm.com/" TargetMode="External"/><Relationship Id="rId2" Type="http://schemas.openxmlformats.org/officeDocument/2006/relationships/hyperlink" Target="mailto:mlaw@mlawplc.com" TargetMode="External"/><Relationship Id="rId1" Type="http://schemas.openxmlformats.org/officeDocument/2006/relationships/hyperlink" Target="https://www.mlawplc.com/" TargetMode="External"/><Relationship Id="rId6" Type="http://schemas.openxmlformats.org/officeDocument/2006/relationships/hyperlink" Target="mailto:steven@duncanlawfirmpa.com" TargetMode="External"/><Relationship Id="rId11" Type="http://schemas.openxmlformats.org/officeDocument/2006/relationships/hyperlink" Target="https://duncanlaw.com/" TargetMode="External"/><Relationship Id="rId5" Type="http://schemas.openxmlformats.org/officeDocument/2006/relationships/hyperlink" Target="https://duncanlawfirmpa.com/" TargetMode="External"/><Relationship Id="rId10" Type="http://schemas.openxmlformats.org/officeDocument/2006/relationships/hyperlink" Target="https://www.lawdlf.com/" TargetMode="External"/><Relationship Id="rId4" Type="http://schemas.openxmlformats.org/officeDocument/2006/relationships/hyperlink" Target="mailto:info@duncanlawfirm.com" TargetMode="External"/><Relationship Id="rId9" Type="http://schemas.openxmlformats.org/officeDocument/2006/relationships/hyperlink" Target="mailto:gregory@duncanimmigrationlaw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F98B4-386F-47DD-85B5-A4DDE8C1A6DD}">
  <dimension ref="A1:K11"/>
  <sheetViews>
    <sheetView tabSelected="1" workbookViewId="0">
      <selection sqref="A1:K11"/>
    </sheetView>
  </sheetViews>
  <sheetFormatPr defaultRowHeight="14.4" x14ac:dyDescent="0.3"/>
  <sheetData>
    <row r="1" spans="1:11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86.4" x14ac:dyDescent="0.3">
      <c r="A2" s="2" t="s">
        <v>11</v>
      </c>
      <c r="B2" s="2" t="s">
        <v>12</v>
      </c>
      <c r="C2" s="3" t="s">
        <v>13</v>
      </c>
      <c r="D2" s="2" t="s">
        <v>14</v>
      </c>
      <c r="E2" s="2" t="s">
        <v>15</v>
      </c>
      <c r="F2" s="2" t="s">
        <v>16</v>
      </c>
      <c r="G2" s="3" t="s">
        <v>17</v>
      </c>
      <c r="H2" s="2">
        <f>1-248-652-3600</f>
        <v>-4499</v>
      </c>
      <c r="I2" s="2" t="s">
        <v>18</v>
      </c>
      <c r="J2" s="2" t="s">
        <v>19</v>
      </c>
      <c r="K2" s="2" t="s">
        <v>20</v>
      </c>
    </row>
    <row r="3" spans="1:11" ht="129.6" x14ac:dyDescent="0.3">
      <c r="A3" s="2" t="s">
        <v>21</v>
      </c>
      <c r="B3" s="2" t="s">
        <v>22</v>
      </c>
      <c r="C3" s="3" t="s">
        <v>23</v>
      </c>
      <c r="D3" s="2" t="s">
        <v>14</v>
      </c>
      <c r="E3" s="2" t="s">
        <v>15</v>
      </c>
      <c r="F3" s="2" t="s">
        <v>24</v>
      </c>
      <c r="G3" s="3" t="s">
        <v>25</v>
      </c>
      <c r="H3" s="2">
        <f>1-423-926-1357</f>
        <v>-2705</v>
      </c>
      <c r="I3" s="2" t="s">
        <v>26</v>
      </c>
      <c r="J3" s="2" t="s">
        <v>27</v>
      </c>
      <c r="K3" s="2" t="s">
        <v>28</v>
      </c>
    </row>
    <row r="4" spans="1:11" ht="86.4" x14ac:dyDescent="0.3">
      <c r="A4" s="2" t="s">
        <v>29</v>
      </c>
      <c r="B4" s="2" t="s">
        <v>30</v>
      </c>
      <c r="C4" s="3" t="s">
        <v>31</v>
      </c>
      <c r="D4" s="2" t="s">
        <v>14</v>
      </c>
      <c r="E4" s="2" t="s">
        <v>15</v>
      </c>
      <c r="F4" s="2" t="s">
        <v>32</v>
      </c>
      <c r="G4" s="3" t="s">
        <v>33</v>
      </c>
      <c r="H4" s="2">
        <f>1-239-405-6848</f>
        <v>-7491</v>
      </c>
      <c r="I4" s="2" t="s">
        <v>18</v>
      </c>
      <c r="J4" s="2" t="s">
        <v>34</v>
      </c>
      <c r="K4" s="2" t="s">
        <v>35</v>
      </c>
    </row>
    <row r="5" spans="1:11" ht="100.8" x14ac:dyDescent="0.3">
      <c r="A5" s="2" t="s">
        <v>36</v>
      </c>
      <c r="B5" s="2" t="s">
        <v>22</v>
      </c>
      <c r="C5" s="3" t="s">
        <v>37</v>
      </c>
      <c r="D5" s="2" t="s">
        <v>14</v>
      </c>
      <c r="E5" s="2" t="s">
        <v>15</v>
      </c>
      <c r="F5" s="2" t="s">
        <v>38</v>
      </c>
      <c r="G5" s="2" t="s">
        <v>39</v>
      </c>
      <c r="H5" s="2">
        <f>1-225-341-7187</f>
        <v>-7752</v>
      </c>
      <c r="I5" s="2" t="s">
        <v>18</v>
      </c>
      <c r="J5" s="2" t="s">
        <v>40</v>
      </c>
      <c r="K5" s="2" t="s">
        <v>41</v>
      </c>
    </row>
    <row r="6" spans="1:11" ht="86.4" x14ac:dyDescent="0.3">
      <c r="A6" s="2" t="s">
        <v>42</v>
      </c>
      <c r="B6" s="2" t="s">
        <v>43</v>
      </c>
      <c r="C6" s="3" t="s">
        <v>44</v>
      </c>
      <c r="D6" s="2" t="s">
        <v>14</v>
      </c>
      <c r="E6" s="2" t="s">
        <v>45</v>
      </c>
      <c r="F6" s="2" t="s">
        <v>46</v>
      </c>
      <c r="G6" s="3" t="s">
        <v>47</v>
      </c>
      <c r="H6" s="2">
        <f>1-916-581-1977</f>
        <v>-3473</v>
      </c>
      <c r="I6" s="2" t="s">
        <v>48</v>
      </c>
      <c r="J6" s="2" t="s">
        <v>49</v>
      </c>
      <c r="K6" s="2" t="s">
        <v>50</v>
      </c>
    </row>
    <row r="7" spans="1:11" ht="86.4" x14ac:dyDescent="0.3">
      <c r="A7" s="2" t="s">
        <v>51</v>
      </c>
      <c r="B7" s="2" t="s">
        <v>52</v>
      </c>
      <c r="C7" s="3" t="s">
        <v>53</v>
      </c>
      <c r="D7" s="2" t="s">
        <v>14</v>
      </c>
      <c r="E7" s="2" t="s">
        <v>54</v>
      </c>
      <c r="F7" s="2" t="s">
        <v>55</v>
      </c>
      <c r="G7" s="2" t="s">
        <v>39</v>
      </c>
      <c r="H7" s="2" t="s">
        <v>39</v>
      </c>
      <c r="I7" s="2" t="s">
        <v>18</v>
      </c>
      <c r="J7" s="2" t="s">
        <v>56</v>
      </c>
      <c r="K7" s="2" t="s">
        <v>57</v>
      </c>
    </row>
    <row r="8" spans="1:11" ht="86.4" x14ac:dyDescent="0.3">
      <c r="A8" s="2" t="s">
        <v>58</v>
      </c>
      <c r="B8" s="2" t="s">
        <v>59</v>
      </c>
      <c r="C8" s="3" t="s">
        <v>60</v>
      </c>
      <c r="D8" s="2" t="s">
        <v>14</v>
      </c>
      <c r="E8" s="2" t="s">
        <v>15</v>
      </c>
      <c r="F8" s="2" t="s">
        <v>61</v>
      </c>
      <c r="G8" s="2" t="s">
        <v>39</v>
      </c>
      <c r="H8" s="2">
        <f>1-210-224-781</f>
        <v>-1214</v>
      </c>
      <c r="I8" s="2" t="s">
        <v>18</v>
      </c>
      <c r="J8" s="2" t="s">
        <v>62</v>
      </c>
      <c r="K8" s="2" t="s">
        <v>63</v>
      </c>
    </row>
    <row r="9" spans="1:11" ht="100.8" x14ac:dyDescent="0.3">
      <c r="A9" s="2" t="s">
        <v>64</v>
      </c>
      <c r="B9" s="2" t="s">
        <v>65</v>
      </c>
      <c r="C9" s="3" t="s">
        <v>66</v>
      </c>
      <c r="D9" s="2" t="s">
        <v>14</v>
      </c>
      <c r="E9" s="2" t="s">
        <v>67</v>
      </c>
      <c r="F9" s="2" t="s">
        <v>68</v>
      </c>
      <c r="G9" s="2" t="s">
        <v>39</v>
      </c>
      <c r="H9" s="2">
        <f>1-501-228-7600</f>
        <v>-8328</v>
      </c>
      <c r="I9" s="2" t="s">
        <v>18</v>
      </c>
      <c r="J9" s="2" t="s">
        <v>69</v>
      </c>
      <c r="K9" s="2" t="s">
        <v>70</v>
      </c>
    </row>
    <row r="10" spans="1:11" ht="86.4" x14ac:dyDescent="0.3">
      <c r="A10" s="2" t="s">
        <v>71</v>
      </c>
      <c r="B10" s="2" t="s">
        <v>72</v>
      </c>
      <c r="C10" s="2" t="s">
        <v>73</v>
      </c>
      <c r="D10" s="2" t="s">
        <v>14</v>
      </c>
      <c r="E10" s="2" t="s">
        <v>74</v>
      </c>
      <c r="F10" s="2" t="s">
        <v>75</v>
      </c>
      <c r="G10" s="2" t="s">
        <v>39</v>
      </c>
      <c r="H10" s="2" t="s">
        <v>39</v>
      </c>
      <c r="I10" s="2" t="s">
        <v>18</v>
      </c>
      <c r="J10" s="2" t="s">
        <v>76</v>
      </c>
      <c r="K10" s="2" t="s">
        <v>77</v>
      </c>
    </row>
    <row r="11" spans="1:11" ht="115.2" x14ac:dyDescent="0.3">
      <c r="A11" s="2" t="s">
        <v>78</v>
      </c>
      <c r="B11" s="2" t="s">
        <v>79</v>
      </c>
      <c r="C11" s="2" t="s">
        <v>73</v>
      </c>
      <c r="D11" s="2" t="s">
        <v>14</v>
      </c>
      <c r="E11" s="2" t="s">
        <v>74</v>
      </c>
      <c r="F11" s="2" t="s">
        <v>80</v>
      </c>
      <c r="G11" s="2" t="s">
        <v>39</v>
      </c>
      <c r="H11" s="2" t="s">
        <v>39</v>
      </c>
      <c r="I11" s="2" t="s">
        <v>18</v>
      </c>
      <c r="J11" s="2" t="s">
        <v>81</v>
      </c>
      <c r="K11" s="2" t="s">
        <v>82</v>
      </c>
    </row>
  </sheetData>
  <hyperlinks>
    <hyperlink ref="C2" r:id="rId1" display="https://www.mlawplc.com/" xr:uid="{0F46FD8D-31E2-43C5-8519-D1547C047B52}"/>
    <hyperlink ref="G2" r:id="rId2" display="mailto:mlaw@mlawplc.com" xr:uid="{4052494F-8D5C-4372-9043-D990EBE21806}"/>
    <hyperlink ref="C3" r:id="rId3" display="https://www.duncanlawfirm.com/" xr:uid="{D269CF46-E9EB-4398-83D5-112557A3406F}"/>
    <hyperlink ref="G3" r:id="rId4" display="mailto:info@duncanlawfirm.com" xr:uid="{18402A6C-C756-4212-BBAA-966C193C5BD5}"/>
    <hyperlink ref="C4" r:id="rId5" display="https://duncanlawfirmpa.com/" xr:uid="{F2F40DE4-E440-4C79-8066-DB1FABD0DCC8}"/>
    <hyperlink ref="G4" r:id="rId6" display="mailto:steven@duncanlawfirmpa.com" xr:uid="{B529080F-FAC7-4FF7-A6E4-64A415C5ADEF}"/>
    <hyperlink ref="C5" r:id="rId7" display="https://www.jduncanlawfirm.com/" xr:uid="{55DECD53-9914-43D6-974B-1266D3AB555D}"/>
    <hyperlink ref="C6" r:id="rId8" display="https://www.duncanimmigrationlaw.com/" xr:uid="{B664D64D-ACE2-4BA5-9175-5A429D83FBEB}"/>
    <hyperlink ref="G6" r:id="rId9" display="mailto:gregory@duncanimmigrationlaw.com" xr:uid="{4D0246C4-26AF-4048-BD21-4039B3E59E9D}"/>
    <hyperlink ref="C7" r:id="rId10" display="https://www.lawdlf.com/" xr:uid="{BBE6CB8B-F8E1-4414-9B89-11B0CE24A5AF}"/>
    <hyperlink ref="C8" r:id="rId11" display="https://duncanlaw.com/" xr:uid="{8E33EBF2-39FB-4FA4-BD76-B067C348B875}"/>
    <hyperlink ref="C9" r:id="rId12" display="https://www.duncanfirm.com/" xr:uid="{487C9FB6-6641-4780-9A04-D814FEA6592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Anshika Kesarwani</dc:creator>
  <cp:lastModifiedBy>Anshika Kesarwani</cp:lastModifiedBy>
  <dcterms:created xsi:type="dcterms:W3CDTF">2026-07-15T16:26:11Z</dcterms:created>
  <dcterms:modified xsi:type="dcterms:W3CDTF">2026-07-15T16:27:12Z</dcterms:modified>
</cp:coreProperties>
</file>